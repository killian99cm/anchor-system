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持仓明细" sheetId="2" state="visible" r:id="rId2"/>
    <sheet name="板块行情" sheetId="3" state="visible" r:id="rId3"/>
    <sheet name="盈亏透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Calibri"/>
      <family val="2"/>
      <color theme="1"/>
      <sz val="11"/>
      <scheme val="minor"/>
    </font>
    <font>
      <name val="Georgia"/>
      <b val="1"/>
      <color rgb="001F4E79"/>
      <sz val="20"/>
    </font>
    <font>
      <name val="Calibri"/>
      <i val="1"/>
      <color rgb="00888888"/>
      <sz val="10"/>
    </font>
    <font>
      <name val="Calibri"/>
      <color rgb="00888888"/>
      <sz val="9"/>
    </font>
    <font>
      <name val="Georgia"/>
      <b val="1"/>
      <color rgb="001F4E79"/>
      <sz val="16"/>
    </font>
    <font>
      <name val="Georgia"/>
      <b val="1"/>
      <color rgb="00C62828"/>
      <sz val="16"/>
    </font>
    <font>
      <name val="Georgia"/>
      <b val="1"/>
      <color rgb="002E7D32"/>
      <sz val="16"/>
    </font>
    <font>
      <name val="Georgia"/>
      <b val="1"/>
      <color rgb="00FFFFFF"/>
      <sz val="14"/>
    </font>
    <font>
      <name val="Calibri"/>
      <b val="1"/>
      <color rgb="00FFFFFF"/>
      <sz val="11"/>
    </font>
    <font>
      <name val="Georgia"/>
      <b val="1"/>
      <color rgb="001F4E79"/>
      <sz val="14"/>
    </font>
    <font>
      <name val="Calibri"/>
      <color rgb="00444444"/>
      <sz val="10"/>
    </font>
    <font>
      <name val="Calibri"/>
      <color rgb="001F4E79"/>
      <sz val="11"/>
      <u val="single"/>
    </font>
    <font>
      <name val="Georgia"/>
      <b val="1"/>
      <color rgb="001F4E79"/>
      <sz val="18"/>
    </font>
    <font>
      <name val="Georgia"/>
      <b val="1"/>
      <color rgb="00FFFFFF"/>
      <sz val="10"/>
    </font>
    <font>
      <name val="Calibri"/>
      <color rgb="00000000"/>
      <sz val="10"/>
    </font>
    <font>
      <name val="Calibri"/>
      <b val="1"/>
      <color rgb="002E7D32"/>
      <sz val="10"/>
    </font>
    <font>
      <name val="Calibri"/>
      <b val="1"/>
      <color rgb="00000000"/>
      <sz val="10"/>
    </font>
    <font>
      <name val="Calibri"/>
      <b val="1"/>
      <color rgb="00C62828"/>
      <sz val="10"/>
    </font>
    <font>
      <name val="Georgia"/>
      <b val="1"/>
      <color rgb="001F4E79"/>
      <sz val="11"/>
    </font>
    <font>
      <name val="Calibri"/>
      <b val="1"/>
      <sz val="11"/>
    </font>
    <font>
      <name val="Calibri"/>
      <b val="1"/>
      <color rgb="002E7D32"/>
      <sz val="11"/>
    </font>
    <font>
      <name val="Calibri"/>
      <b val="1"/>
      <color rgb="00C62828"/>
      <sz val="11"/>
    </font>
    <font>
      <name val="Georgia"/>
      <color rgb="001F4E79"/>
      <sz val="10"/>
    </font>
    <font>
      <name val="Calibri"/>
      <b val="1"/>
      <sz val="10"/>
    </font>
    <font>
      <name val="Calibri"/>
      <b val="1"/>
      <color rgb="00C62828"/>
      <sz val="9"/>
    </font>
    <font>
      <name val="Calibri"/>
      <sz val="9"/>
    </font>
    <font>
      <name val="Calibri"/>
      <b val="1"/>
      <color rgb="002E7D32"/>
      <sz val="9"/>
    </font>
    <font>
      <name val="Calibri"/>
      <b val="1"/>
      <sz val="8"/>
    </font>
    <font>
      <name val="Calibri"/>
      <sz val="8"/>
    </font>
    <font>
      <name val="Calibri"/>
      <sz val="10"/>
    </font>
    <font>
      <name val="Calibri"/>
      <color rgb="002E7D32"/>
      <sz val="10"/>
    </font>
    <font>
      <name val="Calibri"/>
      <b val="1"/>
      <color rgb="001F4E79"/>
      <sz val="10"/>
    </font>
    <font>
      <name val="Calibri"/>
      <color rgb="00C62828"/>
      <sz val="10"/>
    </font>
    <font>
      <name val="Georgia"/>
      <b val="1"/>
      <color rgb="001F4E79"/>
      <sz val="12"/>
    </font>
    <font>
      <name val="Calibri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C62828"/>
        <bgColor rgb="00C62828"/>
      </patternFill>
    </fill>
    <fill>
      <patternFill patternType="solid">
        <fgColor rgb="00B71C1C"/>
        <bgColor rgb="00B71C1C"/>
      </patternFill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3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left" vertical="center" indent="1"/>
    </xf>
    <xf numFmtId="3" fontId="14" fillId="5" borderId="5" applyAlignment="1" pivotButton="0" quotePrefix="0" xfId="0">
      <alignment horizontal="right" vertical="center"/>
    </xf>
    <xf numFmtId="3" fontId="15" fillId="5" borderId="5" applyAlignment="1" pivotButton="0" quotePrefix="0" xfId="0">
      <alignment horizontal="right" vertical="center"/>
    </xf>
    <xf numFmtId="164" fontId="15" fillId="5" borderId="5" applyAlignment="1" pivotButton="0" quotePrefix="0" xfId="0">
      <alignment horizontal="right" vertical="center"/>
    </xf>
    <xf numFmtId="0" fontId="14" fillId="5" borderId="5" applyAlignment="1" pivotButton="0" quotePrefix="0" xfId="0">
      <alignment horizontal="center" vertical="center"/>
    </xf>
    <xf numFmtId="164" fontId="14" fillId="5" borderId="5" applyAlignment="1" pivotButton="0" quotePrefix="0" xfId="0">
      <alignment horizontal="center" vertical="center"/>
    </xf>
    <xf numFmtId="3" fontId="16" fillId="5" borderId="5" applyAlignment="1" pivotButton="0" quotePrefix="0" xfId="0">
      <alignment horizontal="right" vertical="center"/>
    </xf>
    <xf numFmtId="0" fontId="14" fillId="5" borderId="6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 indent="1"/>
    </xf>
    <xf numFmtId="3" fontId="14" fillId="0" borderId="5" applyAlignment="1" pivotButton="0" quotePrefix="0" xfId="0">
      <alignment horizontal="right" vertical="center"/>
    </xf>
    <xf numFmtId="3" fontId="17" fillId="0" borderId="5" applyAlignment="1" pivotButton="0" quotePrefix="0" xfId="0">
      <alignment horizontal="right" vertical="center"/>
    </xf>
    <xf numFmtId="164" fontId="17" fillId="0" borderId="5" applyAlignment="1" pivotButton="0" quotePrefix="0" xfId="0">
      <alignment horizontal="right" vertical="center"/>
    </xf>
    <xf numFmtId="0" fontId="14" fillId="0" borderId="5" applyAlignment="1" pivotButton="0" quotePrefix="0" xfId="0">
      <alignment horizontal="center" vertical="center"/>
    </xf>
    <xf numFmtId="164" fontId="14" fillId="0" borderId="5" applyAlignment="1" pivotButton="0" quotePrefix="0" xfId="0">
      <alignment horizontal="center" vertical="center"/>
    </xf>
    <xf numFmtId="3" fontId="16" fillId="0" borderId="5" applyAlignment="1" pivotButton="0" quotePrefix="0" xfId="0">
      <alignment horizontal="right" vertical="center"/>
    </xf>
    <xf numFmtId="0" fontId="14" fillId="0" borderId="6" applyAlignment="1" pivotButton="0" quotePrefix="0" xfId="0">
      <alignment horizontal="center" vertical="center"/>
    </xf>
    <xf numFmtId="0" fontId="14" fillId="6" borderId="4" applyAlignment="1" pivotButton="0" quotePrefix="0" xfId="0">
      <alignment horizontal="left" vertical="center" indent="1"/>
    </xf>
    <xf numFmtId="3" fontId="14" fillId="6" borderId="5" applyAlignment="1" pivotButton="0" quotePrefix="0" xfId="0">
      <alignment horizontal="right" vertical="center"/>
    </xf>
    <xf numFmtId="3" fontId="17" fillId="6" borderId="5" applyAlignment="1" pivotButton="0" quotePrefix="0" xfId="0">
      <alignment horizontal="right" vertical="center"/>
    </xf>
    <xf numFmtId="164" fontId="17" fillId="6" borderId="5" applyAlignment="1" pivotButton="0" quotePrefix="0" xfId="0">
      <alignment horizontal="right" vertical="center"/>
    </xf>
    <xf numFmtId="0" fontId="14" fillId="6" borderId="5" applyAlignment="1" pivotButton="0" quotePrefix="0" xfId="0">
      <alignment horizontal="center" vertical="center"/>
    </xf>
    <xf numFmtId="164" fontId="14" fillId="6" borderId="5" applyAlignment="1" pivotButton="0" quotePrefix="0" xfId="0">
      <alignment horizontal="center" vertical="center"/>
    </xf>
    <xf numFmtId="3" fontId="16" fillId="6" borderId="5" applyAlignment="1" pivotButton="0" quotePrefix="0" xfId="0">
      <alignment horizontal="right" vertical="center"/>
    </xf>
    <xf numFmtId="0" fontId="14" fillId="6" borderId="6" applyAlignment="1" pivotButton="0" quotePrefix="0" xfId="0">
      <alignment horizontal="center" vertical="center"/>
    </xf>
    <xf numFmtId="0" fontId="18" fillId="0" borderId="0" pivotButton="0" quotePrefix="0" xfId="0"/>
    <xf numFmtId="3" fontId="19" fillId="0" borderId="0" pivotButton="0" quotePrefix="0" xfId="0"/>
    <xf numFmtId="3" fontId="20" fillId="0" borderId="0" pivotButton="0" quotePrefix="0" xfId="0"/>
    <xf numFmtId="3" fontId="21" fillId="0" borderId="0" pivotButton="0" quotePrefix="0" xfId="0"/>
    <xf numFmtId="0" fontId="22" fillId="0" borderId="0" pivotButton="0" quotePrefix="0" xfId="0"/>
    <xf numFmtId="0" fontId="23" fillId="0" borderId="4" pivotButton="0" quotePrefix="0" xfId="0"/>
    <xf numFmtId="10" fontId="17" fillId="0" borderId="5" applyAlignment="1" pivotButton="0" quotePrefix="0" xfId="0">
      <alignment horizontal="center"/>
    </xf>
    <xf numFmtId="0" fontId="24" fillId="0" borderId="5" applyAlignment="1" pivotButton="0" quotePrefix="0" xfId="0">
      <alignment horizontal="center"/>
    </xf>
    <xf numFmtId="0" fontId="25" fillId="0" borderId="6" applyAlignment="1" pivotButton="0" quotePrefix="0" xfId="0">
      <alignment horizontal="center"/>
    </xf>
    <xf numFmtId="10" fontId="15" fillId="0" borderId="5" applyAlignment="1" pivotButton="0" quotePrefix="0" xfId="0">
      <alignment horizontal="center"/>
    </xf>
    <xf numFmtId="0" fontId="26" fillId="0" borderId="5" applyAlignment="1" pivotButton="0" quotePrefix="0" xfId="0">
      <alignment horizontal="center"/>
    </xf>
    <xf numFmtId="0" fontId="23" fillId="0" borderId="0" pivotButton="0" quotePrefix="0" xfId="0"/>
    <xf numFmtId="10" fontId="1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7" fillId="0" borderId="0" pivotButton="0" quotePrefix="0" xfId="0"/>
    <xf numFmtId="0" fontId="28" fillId="0" borderId="0" pivotButton="0" quotePrefix="0" xfId="0"/>
    <xf numFmtId="0" fontId="13" fillId="4" borderId="1" applyAlignment="1" pivotButton="0" quotePrefix="0" xfId="0">
      <alignment horizontal="center"/>
    </xf>
    <xf numFmtId="0" fontId="13" fillId="4" borderId="2" applyAlignment="1" pivotButton="0" quotePrefix="0" xfId="0">
      <alignment horizontal="center"/>
    </xf>
    <xf numFmtId="0" fontId="13" fillId="4" borderId="3" applyAlignment="1" pivotButton="0" quotePrefix="0" xfId="0">
      <alignment horizontal="center"/>
    </xf>
    <xf numFmtId="0" fontId="29" fillId="0" borderId="5" applyAlignment="1" pivotButton="0" quotePrefix="0" xfId="0">
      <alignment horizontal="center"/>
    </xf>
    <xf numFmtId="3" fontId="29" fillId="0" borderId="5" applyAlignment="1" pivotButton="0" quotePrefix="0" xfId="0">
      <alignment horizontal="right"/>
    </xf>
    <xf numFmtId="3" fontId="30" fillId="0" borderId="5" applyAlignment="1" pivotButton="0" quotePrefix="0" xfId="0">
      <alignment horizontal="right"/>
    </xf>
    <xf numFmtId="0" fontId="31" fillId="0" borderId="6" pivotButton="0" quotePrefix="0" xfId="0"/>
    <xf numFmtId="3" fontId="32" fillId="0" borderId="5" applyAlignment="1" pivotButton="0" quotePrefix="0" xfId="0">
      <alignment horizontal="right"/>
    </xf>
    <xf numFmtId="0" fontId="29" fillId="0" borderId="0" applyAlignment="1" pivotButton="0" quotePrefix="0" xfId="0">
      <alignment horizontal="center"/>
    </xf>
    <xf numFmtId="3" fontId="29" fillId="0" borderId="0" applyAlignment="1" pivotButton="0" quotePrefix="0" xfId="0">
      <alignment horizontal="right"/>
    </xf>
    <xf numFmtId="3" fontId="32" fillId="0" borderId="0" applyAlignment="1" pivotButton="0" quotePrefix="0" xfId="0">
      <alignment horizontal="right"/>
    </xf>
    <xf numFmtId="0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7月3日板块涨跌幅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'板块行情'!B21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'板块行情'!$C$21:$B$21</f>
            </numRef>
          </val>
        </ser>
        <ser>
          <idx val="1"/>
          <order val="1"/>
          <tx>
            <strRef>
              <f>'板块行情'!C21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'板块行情'!$D$21:$C$21</f>
            </numRef>
          </val>
        </ser>
        <ser>
          <idx val="2"/>
          <order val="2"/>
          <tx>
            <strRef>
              <f>'板块行情'!D21</f>
            </strRef>
          </tx>
          <spPr>
            <a:solidFill>
              <a:srgbClr val="F57C00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'板块行情'!$E$21:$D$21</f>
            </numRef>
          </val>
        </ser>
        <ser>
          <idx val="3"/>
          <order val="3"/>
          <tx>
            <strRef>
              <f>'板块行情'!E21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'板块行情'!$F$21:$E$21</f>
            </numRef>
          </val>
        </ser>
        <ser>
          <idx val="4"/>
          <order val="4"/>
          <tx>
            <strRef>
              <f>'板块行情'!F21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'板块行情'!$G$21:$F$21</f>
            </numRef>
          </val>
        </ser>
        <ser>
          <idx val="5"/>
          <order val="5"/>
          <tx>
            <strRef>
              <f>'板块行情'!G21</f>
            </strRef>
          </tx>
          <spPr>
            <a:solidFill>
              <a:srgbClr val="9DC3E6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'板块行情'!$H$21:$G$21</f>
            </numRef>
          </val>
        </ser>
        <ser>
          <idx val="6"/>
          <order val="6"/>
          <tx>
            <strRef>
              <f>'板块行情'!H21</f>
            </strRef>
          </tx>
          <spPr>
            <a:solidFill>
              <a:srgbClr val="C62828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'板块行情'!$I$21:$H$21</f>
            </numRef>
          </val>
        </ser>
        <ser>
          <idx val="7"/>
          <order val="7"/>
          <tx>
            <strRef>
              <f>'板块行情'!I21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'板块行情'!$J$21:$I$21</f>
            </numRef>
          </val>
        </ser>
        <ser>
          <idx val="8"/>
          <order val="8"/>
          <tx>
            <strRef>
              <f>'板块行情'!J21</f>
            </strRef>
          </tx>
          <spPr>
            <a:solidFill>
              <a:srgbClr val="F57C00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'板块行情'!$K$21:$J$21</f>
            </numRef>
          </val>
        </ser>
        <ser>
          <idx val="9"/>
          <order val="9"/>
          <tx>
            <strRef>
              <f>'板块行情'!K21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'板块行情'!$L$21:$K$21</f>
            </numRef>
          </val>
        </ser>
        <ser>
          <idx val="10"/>
          <order val="10"/>
          <tx>
            <strRef>
              <f>'板块行情'!L21</f>
            </strRef>
          </tx>
          <spPr>
            <a:solidFill>
              <a:srgbClr val="BDD7EE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'板块行情'!$M$21:$L$21</f>
            </numRef>
          </val>
        </ser>
        <ser>
          <idx val="11"/>
          <order val="11"/>
          <tx>
            <strRef>
              <f>'板块行情'!M21</f>
            </strRef>
          </tx>
          <spPr>
            <a:solidFill>
              <a:srgbClr val="9DC3E6"/>
            </a:solidFill>
            <a:ln>
              <a:prstDash val="solid"/>
            </a:ln>
          </spPr>
          <cat>
            <numRef>
              <f>'板块行情'!$B$20:$M$20</f>
            </numRef>
          </cat>
          <val>
            <numRef>
              <f>'板块行情'!$N$21:$M$21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7010;&#35272;'!A1" TargetMode="External" Id="rId1" /><Relationship Type="http://schemas.openxmlformats.org/officeDocument/2006/relationships/hyperlink" Target="#'&#25345;&#20179;&#26126;&#32454;'!A1" TargetMode="External" Id="rId2" /><Relationship Type="http://schemas.openxmlformats.org/officeDocument/2006/relationships/hyperlink" Target="#'&#26495;&#22359;&#34892;&#24773;'!A1" TargetMode="External" Id="rId3" /><Relationship Type="http://schemas.openxmlformats.org/officeDocument/2006/relationships/hyperlink" Target="#'&#30408;&#20111;&#36879;&#35270;'!A1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 ht="38" customHeight="1">
      <c r="B2" s="1" t="inlineStr">
        <is>
          <t>持仓分析日报</t>
        </is>
      </c>
    </row>
    <row r="3">
      <c r="B3" s="2" t="inlineStr">
        <is>
          <t>2026年7月3日 | 数据: 东方财富妙想 mx-data</t>
        </is>
      </c>
    </row>
    <row r="6" ht="18" customHeight="1">
      <c r="B6" s="3" t="inlineStr">
        <is>
          <t>总资产</t>
        </is>
      </c>
      <c r="C6" s="3" t="inlineStr">
        <is>
          <t>今日影响</t>
        </is>
      </c>
      <c r="D6" s="3" t="inlineStr">
        <is>
          <t>持仓盈亏</t>
        </is>
      </c>
      <c r="E6" s="3" t="inlineStr">
        <is>
          <t>今日后盈亏</t>
        </is>
      </c>
      <c r="F6" s="3" t="inlineStr">
        <is>
          <t>赚钱基金</t>
        </is>
      </c>
      <c r="G6" s="3" t="inlineStr">
        <is>
          <t>半导体</t>
        </is>
      </c>
    </row>
    <row r="7" ht="32" customHeight="1">
      <c r="B7" s="4" t="inlineStr">
        <is>
          <t>46,000</t>
        </is>
      </c>
      <c r="C7" s="5" t="inlineStr">
        <is>
          <t>-28.0</t>
        </is>
      </c>
      <c r="D7" s="6" t="inlineStr">
        <is>
          <t>1,645</t>
        </is>
      </c>
      <c r="E7" s="6" t="inlineStr">
        <is>
          <t>1,617.0</t>
        </is>
      </c>
      <c r="F7" s="6" t="inlineStr">
        <is>
          <t>12/18</t>
        </is>
      </c>
      <c r="G7" s="5" t="inlineStr">
        <is>
          <t>-8.3%</t>
        </is>
      </c>
    </row>
    <row r="9" ht="28" customHeight="1">
      <c r="B9" s="7" t="inlineStr">
        <is>
          <t>MARKET ALERT</t>
        </is>
      </c>
    </row>
    <row r="10" ht="25" customHeight="1">
      <c r="B10" s="8" t="inlineStr">
        <is>
          <t>科技板块暴跌: 半导体-8.3% | 科创50-7.7% | 创业板-5.7% | 两日累计回调超12%</t>
        </is>
      </c>
    </row>
    <row r="13">
      <c r="B13" s="9" t="inlineStr">
        <is>
          <t>核心发现</t>
        </is>
      </c>
    </row>
    <row r="14" ht="20" customHeight="1">
      <c r="B14" s="10" t="inlineStr">
        <is>
          <t>1. 半导体两日累计跌超12%，从高点回调已接近你的10%加仓线——准备好首批资金</t>
        </is>
      </c>
    </row>
    <row r="15" ht="20" customHeight="1">
      <c r="B15" s="10" t="inlineStr">
        <is>
          <t>2. 今日持仓预估亏损约28.0元，华夏半导体和TMT50受伤最重</t>
        </is>
      </c>
    </row>
    <row r="16" ht="20" customHeight="1">
      <c r="B16" s="10" t="inlineStr">
        <is>
          <t>3. 债券和黄金坚挺(+0.2%)，压舱石作用显现</t>
        </is>
      </c>
    </row>
    <row r="17" ht="20" customHeight="1">
      <c r="B17" s="10" t="inlineStr">
        <is>
          <t>4. 创新药逆势微涨，板块持续回暖中</t>
        </is>
      </c>
    </row>
    <row r="18" ht="20" customHeight="1">
      <c r="B18" s="10" t="inlineStr">
        <is>
          <t>5. 科技仓位(13%)离目标(18%)更远了——这恰恰是回调加仓的机会</t>
        </is>
      </c>
    </row>
    <row r="20">
      <c r="B20" s="9" t="inlineStr">
        <is>
          <t>导航</t>
        </is>
      </c>
    </row>
    <row r="21">
      <c r="B21" s="11" t="inlineStr">
        <is>
          <t>概览 -&gt; 总览仪表盘</t>
        </is>
      </c>
    </row>
    <row r="22">
      <c r="B22" s="11" t="inlineStr">
        <is>
          <t>持仓明细 -&gt; 19只基金+今日影响</t>
        </is>
      </c>
    </row>
    <row r="23">
      <c r="B23" s="11" t="inlineStr">
        <is>
          <t>板块行情 -&gt; 今日涨跌幅</t>
        </is>
      </c>
    </row>
    <row r="24">
      <c r="B24" s="11" t="inlineStr">
        <is>
          <t>盈亏透视 -&gt; 盈亏+板块分布</t>
        </is>
      </c>
    </row>
  </sheetData>
  <mergeCells count="9">
    <mergeCell ref="B14:H14"/>
    <mergeCell ref="B17:H17"/>
    <mergeCell ref="B9:H9"/>
    <mergeCell ref="B13:H13"/>
    <mergeCell ref="B18:H18"/>
    <mergeCell ref="B16:H16"/>
    <mergeCell ref="B15:H15"/>
    <mergeCell ref="B10:H10"/>
    <mergeCell ref="B3:H3"/>
  </mergeCells>
  <hyperlinks>
    <hyperlink xmlns:r="http://schemas.openxmlformats.org/officeDocument/2006/relationships" ref="B21" r:id="rId1"/>
    <hyperlink xmlns:r="http://schemas.openxmlformats.org/officeDocument/2006/relationships" ref="B22" r:id="rId2"/>
    <hyperlink xmlns:r="http://schemas.openxmlformats.org/officeDocument/2006/relationships" ref="B23" r:id="rId3"/>
    <hyperlink xmlns:r="http://schemas.openxmlformats.org/officeDocument/2006/relationships" ref="B2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2" ht="35" customHeight="1">
      <c r="B2" s="12" t="inlineStr">
        <is>
          <t>持仓明细与今日影响</t>
        </is>
      </c>
    </row>
    <row r="4" ht="28" customHeight="1">
      <c r="B4" s="13" t="inlineStr">
        <is>
          <t>基金</t>
        </is>
      </c>
      <c r="C4" s="14" t="inlineStr">
        <is>
          <t>持仓</t>
        </is>
      </c>
      <c r="D4" s="14" t="inlineStr">
        <is>
          <t>累计盈亏</t>
        </is>
      </c>
      <c r="E4" s="14" t="inlineStr">
        <is>
          <t>收益率</t>
        </is>
      </c>
      <c r="F4" s="14" t="inlineStr">
        <is>
          <t>今日板块</t>
        </is>
      </c>
      <c r="G4" s="14" t="inlineStr">
        <is>
          <t>板块涨跌</t>
        </is>
      </c>
      <c r="H4" s="14" t="inlineStr">
        <is>
          <t>今日影响</t>
        </is>
      </c>
      <c r="I4" s="15" t="inlineStr">
        <is>
          <t>状态</t>
        </is>
      </c>
    </row>
    <row r="5" ht="18" customHeight="1">
      <c r="B5" s="16" t="inlineStr">
        <is>
          <t>华夏半导体芯片联接C</t>
        </is>
      </c>
      <c r="C5" s="17" t="n">
        <v>1339</v>
      </c>
      <c r="D5" s="18" t="n">
        <v>598</v>
      </c>
      <c r="E5" s="19" t="n">
        <v>0.345</v>
      </c>
      <c r="F5" s="20" t="inlineStr">
        <is>
          <t>科技 HIT</t>
        </is>
      </c>
      <c r="G5" s="21" t="n">
        <v>-0.083</v>
      </c>
      <c r="H5" s="22" t="n">
        <v>-111</v>
      </c>
      <c r="I5" s="23" t="inlineStr">
        <is>
          <t>BUY</t>
        </is>
      </c>
    </row>
    <row r="6" ht="18" customHeight="1">
      <c r="B6" s="16" t="inlineStr">
        <is>
          <t>招商TMT50联接A</t>
        </is>
      </c>
      <c r="C6" s="17" t="n">
        <v>1425</v>
      </c>
      <c r="D6" s="18" t="n">
        <v>338</v>
      </c>
      <c r="E6" s="19" t="n">
        <v>0.325</v>
      </c>
      <c r="F6" s="20" t="inlineStr">
        <is>
          <t>科技 HIT</t>
        </is>
      </c>
      <c r="G6" s="21" t="n">
        <v>-0.06</v>
      </c>
      <c r="H6" s="22" t="n">
        <v>-86</v>
      </c>
      <c r="I6" s="23" t="inlineStr">
        <is>
          <t>BUY</t>
        </is>
      </c>
    </row>
    <row r="7" ht="18" customHeight="1">
      <c r="B7" s="16" t="inlineStr">
        <is>
          <t>景顺长城衡瑞混合</t>
        </is>
      </c>
      <c r="C7" s="17" t="n">
        <v>1739</v>
      </c>
      <c r="D7" s="18" t="n">
        <v>63</v>
      </c>
      <c r="E7" s="19" t="n">
        <v>0.043</v>
      </c>
      <c r="F7" s="20" t="inlineStr">
        <is>
          <t>科技 OK</t>
        </is>
      </c>
      <c r="G7" s="21" t="n">
        <v>-0.03</v>
      </c>
      <c r="H7" s="22" t="n">
        <v>-52</v>
      </c>
      <c r="I7" s="23" t="inlineStr">
        <is>
          <t>HOLD</t>
        </is>
      </c>
    </row>
    <row r="8" ht="18" customHeight="1">
      <c r="B8" s="16" t="inlineStr">
        <is>
          <t>易方达证券ETF联接C</t>
        </is>
      </c>
      <c r="C8" s="17" t="n">
        <v>994</v>
      </c>
      <c r="D8" s="18" t="n">
        <v>40</v>
      </c>
      <c r="E8" s="19" t="n">
        <v>0.04</v>
      </c>
      <c r="F8" s="20" t="inlineStr">
        <is>
          <t>红利 OK</t>
        </is>
      </c>
      <c r="G8" s="21" t="n">
        <v>-0.03</v>
      </c>
      <c r="H8" s="22" t="n">
        <v>-30</v>
      </c>
      <c r="I8" s="23" t="inlineStr">
        <is>
          <t>HOLD</t>
        </is>
      </c>
    </row>
    <row r="9" ht="18" customHeight="1">
      <c r="B9" s="16" t="inlineStr">
        <is>
          <t>诺安研究精选C</t>
        </is>
      </c>
      <c r="C9" s="17" t="n">
        <v>2402</v>
      </c>
      <c r="D9" s="18" t="n">
        <v>108</v>
      </c>
      <c r="E9" s="19" t="n">
        <v>0.0003</v>
      </c>
      <c r="F9" s="20" t="inlineStr">
        <is>
          <t>主题 OK</t>
        </is>
      </c>
      <c r="G9" s="21" t="n">
        <v>-0.02</v>
      </c>
      <c r="H9" s="22" t="n">
        <v>-48</v>
      </c>
      <c r="I9" s="23" t="inlineStr">
        <is>
          <t>HOLD</t>
        </is>
      </c>
    </row>
    <row r="10" ht="18" customHeight="1">
      <c r="B10" s="24" t="inlineStr">
        <is>
          <t>光伏产业C</t>
        </is>
      </c>
      <c r="C10" s="25" t="n">
        <v>1126</v>
      </c>
      <c r="D10" s="26" t="n">
        <v>-8</v>
      </c>
      <c r="E10" s="27" t="n">
        <v>-0.006999999999999999</v>
      </c>
      <c r="F10" s="28" t="inlineStr">
        <is>
          <t>主题 WEAK</t>
        </is>
      </c>
      <c r="G10" s="29" t="n">
        <v>-0.02</v>
      </c>
      <c r="H10" s="30" t="n">
        <v>-23</v>
      </c>
      <c r="I10" s="31" t="inlineStr">
        <is>
          <t>HOLD</t>
        </is>
      </c>
    </row>
    <row r="11" ht="18" customHeight="1">
      <c r="B11" s="24" t="inlineStr">
        <is>
          <t>卫星产业C</t>
        </is>
      </c>
      <c r="C11" s="25" t="n">
        <v>1085</v>
      </c>
      <c r="D11" s="26" t="n">
        <v>-78</v>
      </c>
      <c r="E11" s="27" t="n">
        <v>-0.121</v>
      </c>
      <c r="F11" s="28" t="inlineStr">
        <is>
          <t>主题 CUT</t>
        </is>
      </c>
      <c r="G11" s="29" t="n">
        <v>-0.02</v>
      </c>
      <c r="H11" s="30" t="n">
        <v>-22</v>
      </c>
      <c r="I11" s="31" t="inlineStr">
        <is>
          <t>SELL</t>
        </is>
      </c>
    </row>
    <row r="12" ht="18" customHeight="1">
      <c r="B12" s="16" t="inlineStr">
        <is>
          <t>华泰中证2000增强C</t>
        </is>
      </c>
      <c r="C12" s="17" t="n">
        <v>2607</v>
      </c>
      <c r="D12" s="18" t="n">
        <v>81</v>
      </c>
      <c r="E12" s="19" t="n">
        <v>0.032</v>
      </c>
      <c r="F12" s="20" t="inlineStr">
        <is>
          <t>红利 OK</t>
        </is>
      </c>
      <c r="G12" s="21" t="n">
        <v>-0.015</v>
      </c>
      <c r="H12" s="22" t="n">
        <v>-39</v>
      </c>
      <c r="I12" s="23" t="inlineStr">
        <is>
          <t>HOLD</t>
        </is>
      </c>
    </row>
    <row r="13" ht="18" customHeight="1">
      <c r="B13" s="16" t="inlineStr">
        <is>
          <t>天弘通利混合A</t>
        </is>
      </c>
      <c r="C13" s="17" t="n">
        <v>1740</v>
      </c>
      <c r="D13" s="18" t="n">
        <v>310</v>
      </c>
      <c r="E13" s="19" t="n">
        <v>0.117</v>
      </c>
      <c r="F13" s="20" t="inlineStr">
        <is>
          <t>主题 OK</t>
        </is>
      </c>
      <c r="G13" s="21" t="n">
        <v>-0.015</v>
      </c>
      <c r="H13" s="22" t="n">
        <v>-26</v>
      </c>
      <c r="I13" s="23" t="inlineStr">
        <is>
          <t>HOLD</t>
        </is>
      </c>
    </row>
    <row r="14" ht="18" customHeight="1">
      <c r="B14" s="24" t="inlineStr">
        <is>
          <t>上证红利联接A</t>
        </is>
      </c>
      <c r="C14" s="25" t="n">
        <v>1784</v>
      </c>
      <c r="D14" s="26" t="n">
        <v>-25</v>
      </c>
      <c r="E14" s="27" t="n">
        <v>-0.014</v>
      </c>
      <c r="F14" s="28" t="inlineStr">
        <is>
          <t>红利 OK</t>
        </is>
      </c>
      <c r="G14" s="29" t="n">
        <v>-0.01</v>
      </c>
      <c r="H14" s="30" t="n">
        <v>-18</v>
      </c>
      <c r="I14" s="31" t="inlineStr">
        <is>
          <t>HOLD</t>
        </is>
      </c>
    </row>
    <row r="15" ht="18" customHeight="1">
      <c r="B15" s="32" t="inlineStr">
        <is>
          <t>港股科技A</t>
        </is>
      </c>
      <c r="C15" s="33" t="n">
        <v>409</v>
      </c>
      <c r="D15" s="34" t="n">
        <v>-104</v>
      </c>
      <c r="E15" s="35" t="n">
        <v>-0.226</v>
      </c>
      <c r="F15" s="36" t="inlineStr">
        <is>
          <t>主题 CUT</t>
        </is>
      </c>
      <c r="G15" s="37" t="n">
        <v>-0.004</v>
      </c>
      <c r="H15" s="38" t="n">
        <v>-2</v>
      </c>
      <c r="I15" s="39" t="inlineStr">
        <is>
          <t>SELL</t>
        </is>
      </c>
    </row>
    <row r="16" ht="18" customHeight="1">
      <c r="B16" s="16" t="inlineStr">
        <is>
          <t>鹏华畅享债券C</t>
        </is>
      </c>
      <c r="C16" s="17" t="n">
        <v>6717</v>
      </c>
      <c r="D16" s="18" t="n">
        <v>451</v>
      </c>
      <c r="E16" s="19" t="n">
        <v>0.066</v>
      </c>
      <c r="F16" s="20" t="inlineStr">
        <is>
          <t>债券 LOCK</t>
        </is>
      </c>
      <c r="G16" s="21" t="n">
        <v>0</v>
      </c>
      <c r="H16" s="22" t="n">
        <v>0</v>
      </c>
      <c r="I16" s="23" t="inlineStr">
        <is>
          <t>OK</t>
        </is>
      </c>
    </row>
    <row r="17" ht="18" customHeight="1">
      <c r="B17" s="16" t="inlineStr">
        <is>
          <t>中银稳健增利债券A</t>
        </is>
      </c>
      <c r="C17" s="17" t="n">
        <v>4622</v>
      </c>
      <c r="D17" s="18" t="n">
        <v>151</v>
      </c>
      <c r="E17" s="19" t="n">
        <v>0.032</v>
      </c>
      <c r="F17" s="20" t="inlineStr">
        <is>
          <t>债券 LOCK</t>
        </is>
      </c>
      <c r="G17" s="21" t="n">
        <v>0</v>
      </c>
      <c r="H17" s="22" t="n">
        <v>0</v>
      </c>
      <c r="I17" s="23" t="inlineStr">
        <is>
          <t>OK</t>
        </is>
      </c>
    </row>
    <row r="18" ht="18" customHeight="1">
      <c r="B18" s="32" t="inlineStr">
        <is>
          <t>国泰黄金A</t>
        </is>
      </c>
      <c r="C18" s="33" t="n">
        <v>1300</v>
      </c>
      <c r="D18" s="34" t="n">
        <v>-164</v>
      </c>
      <c r="E18" s="35" t="n">
        <v>-0.164</v>
      </c>
      <c r="F18" s="36" t="inlineStr">
        <is>
          <t>主题 GOLD</t>
        </is>
      </c>
      <c r="G18" s="37" t="n">
        <v>0.002</v>
      </c>
      <c r="H18" s="38" t="n">
        <v>3</v>
      </c>
      <c r="I18" s="39" t="inlineStr">
        <is>
          <t>OK</t>
        </is>
      </c>
    </row>
    <row r="19" ht="18" customHeight="1">
      <c r="B19" s="16" t="inlineStr">
        <is>
          <t>华泰纳指100 A</t>
        </is>
      </c>
      <c r="C19" s="17" t="n">
        <v>2047</v>
      </c>
      <c r="D19" s="18" t="n">
        <v>278</v>
      </c>
      <c r="E19" s="19" t="n">
        <v>0.111</v>
      </c>
      <c r="F19" s="20" t="inlineStr">
        <is>
          <t>纳指 LOCK</t>
        </is>
      </c>
      <c r="G19" s="21" t="n">
        <v>0.005</v>
      </c>
      <c r="H19" s="22" t="n">
        <v>10</v>
      </c>
      <c r="I19" s="23" t="inlineStr">
        <is>
          <t>OK</t>
        </is>
      </c>
    </row>
    <row r="20" ht="18" customHeight="1">
      <c r="B20" s="16" t="inlineStr">
        <is>
          <t>天弘纳指100 C</t>
        </is>
      </c>
      <c r="C20" s="17" t="n">
        <v>1303</v>
      </c>
      <c r="D20" s="18" t="n">
        <v>191</v>
      </c>
      <c r="E20" s="19" t="n">
        <v>0.124</v>
      </c>
      <c r="F20" s="20" t="inlineStr">
        <is>
          <t>纳指 LOCK</t>
        </is>
      </c>
      <c r="G20" s="21" t="n">
        <v>0.005</v>
      </c>
      <c r="H20" s="22" t="n">
        <v>7</v>
      </c>
      <c r="I20" s="23" t="inlineStr">
        <is>
          <t>OK</t>
        </is>
      </c>
    </row>
    <row r="21" ht="18" customHeight="1">
      <c r="B21" s="16" t="inlineStr">
        <is>
          <t>天弘全球高端制造C</t>
        </is>
      </c>
      <c r="C21" s="17" t="n">
        <v>348</v>
      </c>
      <c r="D21" s="18" t="n">
        <v>11</v>
      </c>
      <c r="E21" s="19" t="n">
        <v>0.033</v>
      </c>
      <c r="F21" s="20" t="inlineStr">
        <is>
          <t>纳指 LOCK</t>
        </is>
      </c>
      <c r="G21" s="21" t="n">
        <v>0.005</v>
      </c>
      <c r="H21" s="22" t="n">
        <v>2</v>
      </c>
      <c r="I21" s="23" t="inlineStr">
        <is>
          <t>OK</t>
        </is>
      </c>
    </row>
    <row r="22" ht="18" customHeight="1">
      <c r="B22" s="32" t="inlineStr">
        <is>
          <t>创新药联接C</t>
        </is>
      </c>
      <c r="C22" s="33" t="n">
        <v>1971</v>
      </c>
      <c r="D22" s="34" t="n">
        <v>-596</v>
      </c>
      <c r="E22" s="35" t="n">
        <v>-0.127</v>
      </c>
      <c r="F22" s="36" t="inlineStr">
        <is>
          <t>主题 WATCH</t>
        </is>
      </c>
      <c r="G22" s="37" t="n">
        <v>0.01</v>
      </c>
      <c r="H22" s="38" t="n">
        <v>20</v>
      </c>
      <c r="I22" s="39" t="inlineStr">
        <is>
          <t>OK</t>
        </is>
      </c>
    </row>
    <row r="24">
      <c r="B24" s="40" t="inlineStr">
        <is>
          <t>合计</t>
        </is>
      </c>
      <c r="C24" s="41" t="n">
        <v>34958</v>
      </c>
      <c r="D24" s="42" t="n">
        <v>1645</v>
      </c>
      <c r="G24" s="43" t="n">
        <v>-28</v>
      </c>
    </row>
    <row r="25">
      <c r="B25" s="44" t="inlineStr">
        <is>
          <t>今日后预估盈亏</t>
        </is>
      </c>
      <c r="D25" s="42" t="n">
        <v>1617</v>
      </c>
    </row>
  </sheetData>
  <mergeCells count="1">
    <mergeCell ref="B2:J2"/>
  </mergeCells>
  <conditionalFormatting sqref="D5:D22">
    <cfRule type="dataBar" priority="1">
      <dataBar>
        <cfvo type="min"/>
        <cfvo type="max"/>
        <color rgb="002E7D32"/>
      </dataBar>
    </cfRule>
  </conditionalFormatting>
  <conditionalFormatting sqref="E5:E22">
    <cfRule type="colorScale" priority="2">
      <colorScale>
        <cfvo type="min"/>
        <cfvo type="max"/>
        <color rgb="00FFCCCC"/>
        <color rgb="00C8E6C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0" customWidth="1" min="4" max="4"/>
    <col width="16" customWidth="1" min="5" max="5"/>
  </cols>
  <sheetData>
    <row r="2" ht="35" customHeight="1">
      <c r="B2" s="12" t="inlineStr">
        <is>
          <t>2026年7月3日 板块涨跌幅</t>
        </is>
      </c>
    </row>
    <row r="4" ht="28" customHeight="1">
      <c r="B4" s="13" t="inlineStr">
        <is>
          <t>板块</t>
        </is>
      </c>
      <c r="C4" s="14" t="inlineStr">
        <is>
          <t>涨跌幅</t>
        </is>
      </c>
      <c r="D4" s="14" t="inlineStr">
        <is>
          <t>方向</t>
        </is>
      </c>
      <c r="E4" s="15" t="inlineStr">
        <is>
          <t>对持仓影响</t>
        </is>
      </c>
    </row>
    <row r="5" ht="20" customHeight="1">
      <c r="B5" s="45" t="inlineStr">
        <is>
          <t>上证指数</t>
        </is>
      </c>
      <c r="C5" s="46" t="n">
        <v>-0.0203</v>
      </c>
      <c r="D5" s="47" t="inlineStr">
        <is>
          <t>FLAT</t>
        </is>
      </c>
      <c r="E5" s="48" t="inlineStr">
        <is>
          <t>轻微</t>
        </is>
      </c>
    </row>
    <row r="6" ht="20" customHeight="1">
      <c r="B6" s="45" t="inlineStr">
        <is>
          <t>深证成指</t>
        </is>
      </c>
      <c r="C6" s="46" t="n">
        <v>-0.0385</v>
      </c>
      <c r="D6" s="47" t="inlineStr">
        <is>
          <t>DOWN</t>
        </is>
      </c>
      <c r="E6" s="48" t="inlineStr">
        <is>
          <t>中等</t>
        </is>
      </c>
    </row>
    <row r="7" ht="20" customHeight="1">
      <c r="B7" s="45" t="inlineStr">
        <is>
          <t>创业板指</t>
        </is>
      </c>
      <c r="C7" s="46" t="n">
        <v>-0.0571</v>
      </c>
      <c r="D7" s="47" t="inlineStr">
        <is>
          <t>DOWN</t>
        </is>
      </c>
      <c r="E7" s="48" t="inlineStr">
        <is>
          <t>中等</t>
        </is>
      </c>
    </row>
    <row r="8" ht="20" customHeight="1">
      <c r="B8" s="45" t="inlineStr">
        <is>
          <t>科创50</t>
        </is>
      </c>
      <c r="C8" s="46" t="n">
        <v>-0.077</v>
      </c>
      <c r="D8" s="47" t="inlineStr">
        <is>
          <t>DOWN</t>
        </is>
      </c>
      <c r="E8" s="48" t="inlineStr">
        <is>
          <t>中等</t>
        </is>
      </c>
    </row>
    <row r="9" ht="20" customHeight="1">
      <c r="B9" s="45" t="inlineStr">
        <is>
          <t>半导体</t>
        </is>
      </c>
      <c r="C9" s="46" t="n">
        <v>-0.08310000000000001</v>
      </c>
      <c r="D9" s="47" t="inlineStr">
        <is>
          <t>DOWN</t>
        </is>
      </c>
      <c r="E9" s="48" t="inlineStr">
        <is>
          <t>重仓</t>
        </is>
      </c>
    </row>
    <row r="10" ht="20" customHeight="1">
      <c r="B10" s="45" t="inlineStr">
        <is>
          <t>TMT50(估)</t>
        </is>
      </c>
      <c r="C10" s="46" t="n">
        <v>-0.06</v>
      </c>
      <c r="D10" s="47" t="inlineStr">
        <is>
          <t>DOWN</t>
        </is>
      </c>
      <c r="E10" s="48" t="inlineStr">
        <is>
          <t>重仓</t>
        </is>
      </c>
    </row>
    <row r="11" ht="20" customHeight="1">
      <c r="B11" s="45" t="inlineStr">
        <is>
          <t>证券公司(估)</t>
        </is>
      </c>
      <c r="C11" s="46" t="n">
        <v>-0.03</v>
      </c>
      <c r="D11" s="47" t="inlineStr">
        <is>
          <t>FLAT</t>
        </is>
      </c>
      <c r="E11" s="48" t="inlineStr">
        <is>
          <t>轻微</t>
        </is>
      </c>
    </row>
    <row r="12" ht="20" customHeight="1">
      <c r="B12" s="45" t="inlineStr">
        <is>
          <t>恒生科技</t>
        </is>
      </c>
      <c r="C12" s="46" t="n">
        <v>-0.004</v>
      </c>
      <c r="D12" s="47" t="inlineStr">
        <is>
          <t>FLAT</t>
        </is>
      </c>
      <c r="E12" s="48" t="inlineStr">
        <is>
          <t>轻微</t>
        </is>
      </c>
    </row>
    <row r="13" ht="20" customHeight="1">
      <c r="B13" s="45" t="inlineStr">
        <is>
          <t>光伏(估)</t>
        </is>
      </c>
      <c r="C13" s="46" t="n">
        <v>-0.02</v>
      </c>
      <c r="D13" s="47" t="inlineStr">
        <is>
          <t>FLAT</t>
        </is>
      </c>
      <c r="E13" s="48" t="inlineStr">
        <is>
          <t>轻微</t>
        </is>
      </c>
    </row>
    <row r="14" ht="20" customHeight="1">
      <c r="B14" s="45" t="inlineStr">
        <is>
          <t>创新药(估)</t>
        </is>
      </c>
      <c r="C14" s="49" t="n">
        <v>0.01</v>
      </c>
      <c r="D14" s="50" t="inlineStr">
        <is>
          <t>UP</t>
        </is>
      </c>
      <c r="E14" s="48" t="inlineStr">
        <is>
          <t>轻微</t>
        </is>
      </c>
    </row>
    <row r="15" ht="20" customHeight="1">
      <c r="B15" s="45" t="inlineStr">
        <is>
          <t>COMEX黄金</t>
        </is>
      </c>
      <c r="C15" s="49" t="n">
        <v>0.002</v>
      </c>
      <c r="D15" s="50" t="inlineStr">
        <is>
          <t>UP</t>
        </is>
      </c>
      <c r="E15" s="48" t="inlineStr">
        <is>
          <t>轻微</t>
        </is>
      </c>
    </row>
    <row r="16" ht="20" customHeight="1">
      <c r="B16" s="51" t="inlineStr">
        <is>
          <t>纳指100(估)</t>
        </is>
      </c>
      <c r="C16" s="52" t="n">
        <v>0.005</v>
      </c>
      <c r="D16" s="53" t="inlineStr">
        <is>
          <t>UP</t>
        </is>
      </c>
      <c r="E16" s="54" t="inlineStr">
        <is>
          <t>轻微</t>
        </is>
      </c>
    </row>
    <row r="19">
      <c r="B19" s="55" t="inlineStr">
        <is>
          <t>板块</t>
        </is>
      </c>
      <c r="C19" s="55" t="inlineStr">
        <is>
          <t>板块</t>
        </is>
      </c>
      <c r="D19" s="55" t="inlineStr">
        <is>
          <t>板块</t>
        </is>
      </c>
      <c r="E19" s="55" t="inlineStr">
        <is>
          <t>板块</t>
        </is>
      </c>
      <c r="F19" s="55" t="inlineStr">
        <is>
          <t>板块</t>
        </is>
      </c>
      <c r="G19" s="55" t="inlineStr">
        <is>
          <t>板块</t>
        </is>
      </c>
      <c r="H19" s="55" t="inlineStr">
        <is>
          <t>板块</t>
        </is>
      </c>
      <c r="I19" s="55" t="inlineStr">
        <is>
          <t>板块</t>
        </is>
      </c>
      <c r="J19" s="55" t="inlineStr">
        <is>
          <t>板块</t>
        </is>
      </c>
      <c r="K19" s="55" t="inlineStr">
        <is>
          <t>板块</t>
        </is>
      </c>
      <c r="L19" s="55" t="inlineStr">
        <is>
          <t>板块</t>
        </is>
      </c>
      <c r="M19" s="55" t="inlineStr">
        <is>
          <t>板块</t>
        </is>
      </c>
    </row>
    <row r="20">
      <c r="B20" s="56" t="inlineStr">
        <is>
          <t>上证指数</t>
        </is>
      </c>
      <c r="C20" s="56" t="inlineStr">
        <is>
          <t>深证成指</t>
        </is>
      </c>
      <c r="D20" s="56" t="inlineStr">
        <is>
          <t>创业板指</t>
        </is>
      </c>
      <c r="E20" s="56" t="inlineStr">
        <is>
          <t>科创50</t>
        </is>
      </c>
      <c r="F20" s="56" t="inlineStr">
        <is>
          <t>半导体</t>
        </is>
      </c>
      <c r="G20" s="56" t="inlineStr">
        <is>
          <t>TMT50(估)</t>
        </is>
      </c>
      <c r="H20" s="56" t="inlineStr">
        <is>
          <t>证券公司(估)</t>
        </is>
      </c>
      <c r="I20" s="56" t="inlineStr">
        <is>
          <t>恒生科技</t>
        </is>
      </c>
      <c r="J20" s="56" t="inlineStr">
        <is>
          <t>光伏(估)</t>
        </is>
      </c>
      <c r="K20" s="56" t="inlineStr">
        <is>
          <t>创新药(估)</t>
        </is>
      </c>
      <c r="L20" s="56" t="inlineStr">
        <is>
          <t>COMEX黄金</t>
        </is>
      </c>
      <c r="M20" s="56" t="inlineStr">
        <is>
          <t>纳指100(估)</t>
        </is>
      </c>
    </row>
    <row r="21">
      <c r="B21" s="56" t="n">
        <v>-2.03</v>
      </c>
      <c r="C21" s="56" t="n">
        <v>-3.85</v>
      </c>
      <c r="D21" s="56" t="n">
        <v>-5.71</v>
      </c>
      <c r="E21" s="56" t="n">
        <v>-7.7</v>
      </c>
      <c r="F21" s="56" t="n">
        <v>-8.31</v>
      </c>
      <c r="G21" s="56" t="n">
        <v>-6</v>
      </c>
      <c r="H21" s="56" t="n">
        <v>-3</v>
      </c>
      <c r="I21" s="56" t="n">
        <v>-0.4</v>
      </c>
      <c r="J21" s="56" t="n">
        <v>-2</v>
      </c>
      <c r="K21" s="56" t="n">
        <v>1</v>
      </c>
      <c r="L21" s="56" t="n">
        <v>0.2</v>
      </c>
      <c r="M21" s="56" t="n">
        <v>0.5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14" customWidth="1" min="4" max="4"/>
    <col width="14" customWidth="1" min="5" max="5"/>
    <col width="14" customWidth="1" min="6" max="6"/>
    <col width="24" customWidth="1" min="7" max="7"/>
  </cols>
  <sheetData>
    <row r="2" ht="35" customHeight="1">
      <c r="B2" s="12" t="inlineStr">
        <is>
          <t>盈亏分布与机会</t>
        </is>
      </c>
    </row>
    <row r="4" ht="28" customHeight="1">
      <c r="B4" s="57" t="inlineStr">
        <is>
          <t>板块</t>
        </is>
      </c>
      <c r="C4" s="58" t="inlineStr">
        <is>
          <t>基金数</t>
        </is>
      </c>
      <c r="D4" s="58" t="inlineStr">
        <is>
          <t>金额</t>
        </is>
      </c>
      <c r="E4" s="58" t="inlineStr">
        <is>
          <t>盈亏</t>
        </is>
      </c>
      <c r="F4" s="58" t="inlineStr">
        <is>
          <t>今日影响</t>
        </is>
      </c>
      <c r="G4" s="59" t="inlineStr">
        <is>
          <t>建议</t>
        </is>
      </c>
    </row>
    <row r="5" ht="20" customHeight="1">
      <c r="B5" s="45" t="inlineStr">
        <is>
          <t>债券</t>
        </is>
      </c>
      <c r="C5" s="60" t="n">
        <v>2</v>
      </c>
      <c r="D5" s="61" t="n">
        <v>11339</v>
      </c>
      <c r="E5" s="62" t="n">
        <v>602</v>
      </c>
      <c r="F5" s="62" t="n">
        <v>0</v>
      </c>
      <c r="G5" s="63" t="inlineStr">
        <is>
          <t>HOLD</t>
        </is>
      </c>
    </row>
    <row r="6" ht="20" customHeight="1">
      <c r="B6" s="45" t="inlineStr">
        <is>
          <t>纳指</t>
        </is>
      </c>
      <c r="C6" s="60" t="n">
        <v>3</v>
      </c>
      <c r="D6" s="61" t="n">
        <v>3698</v>
      </c>
      <c r="E6" s="62" t="n">
        <v>480</v>
      </c>
      <c r="F6" s="62" t="n">
        <v>1.5</v>
      </c>
      <c r="G6" s="63" t="inlineStr">
        <is>
          <t>HOLD</t>
        </is>
      </c>
    </row>
    <row r="7" ht="20" customHeight="1">
      <c r="B7" s="45" t="inlineStr">
        <is>
          <t>科技</t>
        </is>
      </c>
      <c r="C7" s="60" t="n">
        <v>3</v>
      </c>
      <c r="D7" s="61" t="n">
        <v>4503</v>
      </c>
      <c r="E7" s="62" t="n">
        <v>999</v>
      </c>
      <c r="F7" s="64" t="n">
        <v>-17.3</v>
      </c>
      <c r="G7" s="63" t="inlineStr">
        <is>
          <t>BUY(等-10%)</t>
        </is>
      </c>
    </row>
    <row r="8" ht="20" customHeight="1">
      <c r="B8" s="45" t="inlineStr">
        <is>
          <t>红利</t>
        </is>
      </c>
      <c r="C8" s="60" t="n">
        <v>3</v>
      </c>
      <c r="D8" s="61" t="n">
        <v>5385</v>
      </c>
      <c r="E8" s="62" t="n">
        <v>96</v>
      </c>
      <c r="F8" s="64" t="n">
        <v>-5.5</v>
      </c>
      <c r="G8" s="63" t="inlineStr">
        <is>
          <t>HOLD</t>
        </is>
      </c>
    </row>
    <row r="9" ht="20" customHeight="1">
      <c r="B9" s="51" t="inlineStr">
        <is>
          <t>主题</t>
        </is>
      </c>
      <c r="C9" s="65" t="n">
        <v>7</v>
      </c>
      <c r="D9" s="66" t="n">
        <v>10033</v>
      </c>
      <c r="E9" s="67" t="n">
        <v>-532</v>
      </c>
      <c r="F9" s="67" t="n">
        <v>-6.7</v>
      </c>
      <c r="G9" s="68" t="inlineStr">
        <is>
          <t>CUT弱留强</t>
        </is>
      </c>
    </row>
    <row r="12">
      <c r="B12" s="69" t="inlineStr">
        <is>
          <t>数据声明</t>
        </is>
      </c>
    </row>
    <row r="13">
      <c r="B13" s="70" t="inlineStr">
        <is>
          <t>数据: 东方财富妙想 mx-data | 行情截止 2026-07-03 收盘</t>
        </is>
      </c>
    </row>
    <row r="14">
      <c r="B14" s="70" t="inlineStr">
        <is>
          <t>今日影响为估算值，实际以基金公司公布净值为准</t>
        </is>
      </c>
    </row>
    <row r="15">
      <c r="B15" s="70" t="inlineStr">
        <is>
          <t>本报告仅供参考，不构成投资建议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2026-07-02T16:10:25Z</dcterms:created>
  <dcterms:modified xsi:type="dcterms:W3CDTF">2026-07-02T16:10:25Z</dcterms:modified>
</cp:coreProperties>
</file>